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b9d7e42f2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5be919e74c412a"/>
    <x:sheet xmlns:r="http://schemas.openxmlformats.org/officeDocument/2006/relationships" name="Raw data" sheetId="2" r:id="R5e9a30512695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 &quot;tok/s&quot;"/>
    <x:numFmt numFmtId="201" formatCode="#,##0.0 &quot;ms&quot;"/>
    <x:numFmt numFmtId="202" formatCode="0"/>
    <x:numFmt numFmtId="203" formatCode="#,##0.0"/>
    <x:numFmt numFmtId="204" formatCode="0.0x"/>
    <x:numFmt numFmtId="205" formatCode="#,##0.000"/>
    <x:numFmt numFmtId="206" formatCode="0.0%"/>
  </x:numFmts>
  <x:fonts count="10">
    <x:font>
      <x:sz val="11"/>
      <x:name val="Carlito"/>
    </x:font>
    <x:font>
      <x:b/>
      <x:sz val="16"/>
      <x:color rgb="FF1F4E78"/>
      <x:name val="Arial"/>
    </x:font>
    <x:font>
      <x:i/>
      <x:sz val="10"/>
      <x:color rgb="FF5B6573"/>
      <x:name val="Arial"/>
    </x:font>
    <x:font>
      <x:b/>
      <x:sz val="10"/>
      <x:color rgb="FF1F4E78"/>
      <x:name val="Arial"/>
    </x:font>
    <x:font>
      <x:b/>
      <x:sz val="11"/>
      <x:color rgb="FF1F2937"/>
      <x:name val="Arial"/>
    </x:font>
    <x:font>
      <x:b/>
      <x:sz val="11"/>
      <x:color rgb="FF1F4E7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i/>
      <x:sz val="9"/>
      <x:color rgb="FF5B6573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</x:fills>
  <x:borders count="10">
    <x:border/>
    <x:border>
      <x:bottom style="thin">
        <x:color rgb="FF1F4E78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2" fontId="9" fillId="0" borderId="5" xfId="0" applyNumberFormat="1" applyFont="1" applyFill="1" applyBorder="1"/>
    <x:xf numFmtId="204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7" xfId="0" applyNumberFormat="1" applyFont="1" applyFill="1" applyBorder="1"/>
    <x:xf numFmtId="203" fontId="9" fillId="0" borderId="8" xfId="0" applyNumberFormat="1" applyFont="1" applyFill="1" applyBorder="1"/>
    <x:xf numFmtId="204" fontId="9" fillId="0" borderId="8" xfId="0" applyNumberFormat="1" applyFont="1" applyFill="1" applyBorder="1"/>
    <x:xf numFmtId="202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2" fontId="9" fillId="0" borderId="5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202" fontId="9" fillId="0" borderId="7" xfId="0" applyNumberFormat="1" applyFont="1" applyFill="1" applyBorder="1" applyAlignment="1">
      <x:alignment vertical="center"/>
    </x:xf>
    <x:xf numFmtId="203" fontId="9" fillId="0" borderId="8" xfId="0" applyNumberFormat="1" applyFont="1" applyFill="1" applyBorder="1" applyAlignment="1">
      <x:alignment vertical="center"/>
    </x:xf>
    <x:xf numFmtId="204" fontId="9" fillId="0" borderId="8" xfId="0" applyNumberFormat="1" applyFont="1" applyFill="1" applyBorder="1" applyAlignment="1">
      <x:alignment vertical="center"/>
    </x:xf>
    <x:xf numFmtId="202" fontId="9" fillId="0" borderId="8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2" fontId="6" fillId="0" borderId="5" xfId="0" applyNumberFormat="1" applyFont="1" applyFill="1" applyBorder="1"/>
    <x:xf numFmtId="0" fontId="6" fillId="0" borderId="6" xfId="0" applyNumberFormat="1" applyFont="1" applyFill="1" applyBorder="1"/>
    <x:xf numFmtId="202" fontId="6" fillId="0" borderId="7" xfId="0" applyNumberFormat="1" applyFont="1" applyFill="1" applyBorder="1"/>
    <x:xf numFmtId="202" fontId="6" fillId="0" borderId="8" xfId="0" applyNumberFormat="1" applyFont="1" applyFill="1" applyBorder="1"/>
    <x:xf numFmtId="205" fontId="6" fillId="0" borderId="8" xfId="0" applyNumberFormat="1" applyFont="1" applyFill="1" applyBorder="1"/>
    <x:xf numFmtId="206" fontId="6" fillId="0" borderId="8" xfId="0" applyNumberFormat="1" applyFont="1" applyFill="1" applyBorder="1"/>
    <x:xf numFmtId="0" fontId="6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0a8cc4dc34636" /><Relationship Type="http://schemas.openxmlformats.org/officeDocument/2006/relationships/theme" Target="/xl/theme/theme1.xml" Id="R56340fec5a654ae1" /><Relationship Type="http://schemas.openxmlformats.org/officeDocument/2006/relationships/sharedStrings" Target="/xl/sharedStrings.xml" Id="R4720db1b0a644c9b" /><Relationship Type="http://schemas.openxmlformats.org/officeDocument/2006/relationships/worksheet" Target="/xl/worksheets/sheet1.xml" Id="R5d5be919e74c412a" /><Relationship Type="http://schemas.openxmlformats.org/officeDocument/2006/relationships/worksheet" Target="/xl/worksheets/sheet2.xml" Id="R5e9a3051269548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a82cdc332140c6" /><Relationship Type="http://schemas.openxmlformats.org/officeDocument/2006/relationships/chart" Target="/xl/drawings/charts/chart2.xml" Id="Rb9b94c96d2654b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输出吞吐随并发增长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输出吞吐 (tok/s)</c:v>
          </c:tx>
          <c:marker>
            <c:symbol val="none"/>
          </c:marker>
          <c:cat>
            <c:strRef>
              <c:f>'Summary'!$A$14:$A$17</c:f>
              <c:strCache>
                <c:ptCount val="0"/>
              </c:strCache>
            </c:strRef>
          </c:cat>
          <c:val>
            <c:numRef>
              <c:f>'Summary'!$B$14:$B$17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并发请求数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tokens/s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P99 端到端延迟随并发增长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P99 E2E (ms)</c:v>
          </c:tx>
          <c:marker>
            <c:symbol val="none"/>
          </c:marker>
          <c:cat>
            <c:strRef>
              <c:f>'Summary'!$D$14:$D$17</c:f>
              <c:strCache>
                <c:ptCount val="0"/>
              </c:strCache>
            </c:strRef>
          </c:cat>
          <c:val>
            <c:numRef>
              <c:f>'Summary'!$E$14:$E$17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并发请求数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a82cdc332140c6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b94c96d2654b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07f56ff303429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9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9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48"/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</x:row>
    <x:row r="2">
      <x:c r="A2" s="49" t="str">
        <x:v>vLLM 并发基线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3">
      <x:c r="A3" s="51" t="str">
        <x:v>Qwen3-0.6B | RTX 5060 8GB | 固定输入 256 tokens | 固定输出 128 tokens | 每组 64 请求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</x:row>
    <x:row r="5">
      <x:c r="A5" s="6" t="str">
        <x:v>并发 64 输出吞吐</x:v>
      </x:c>
      <x:c r="B5" s="10" t="n">
        <x:v>6139.156796181637</x:v>
      </x:c>
      <x:c r="C5" s="6" t="str">
        <x:v>并发 64 P99 E2E</x:v>
      </x:c>
      <x:c r="D5" s="11" t="n">
        <x:v>1329.2107331700054</x:v>
      </x:c>
      <x:c r="E5" s="6" t="str">
        <x:v>并发 16 输出吞吐</x:v>
      </x:c>
      <x:c r="F5" s="10" t="n">
        <x:v>2750.124526474466</x:v>
      </x:c>
      <x:c r="G5" s="6" t="str">
        <x:v>失败请求</x:v>
      </x:c>
      <x:c r="H5" s="12" t="n">
        <x:v>0</x:v>
      </x:c>
      <x:c r="I5" s="48"/>
      <x:c r="J5" s="48"/>
      <x:c r="K5" s="48"/>
      <x:c r="L5" s="48"/>
      <x:c r="M5" s="48"/>
      <x:c r="N5" s="48"/>
      <x:c r="O5" s="48"/>
      <x:c r="P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</x:row>
    <x:row r="7">
      <x:c r="A7" s="52" t="str">
        <x:v>结论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</x:row>
    <x:row r="8">
      <x:c r="A8" s="53" t="str">
        <x:v>并发从 1 增至 64，输出吞吐从 287.5 增至 6139.2 tok/s，提升 21.4 倍。</x:v>
      </x:c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</x:row>
    <x:row r="9">
      <x:c r="A9" s="53" t="str">
        <x:v>同期 P99 TTFT 增至 8.4 倍，P99 E2E 增至 2.9 倍；批处理提高总吞吐，但单请求等待变长。</x:v>
      </x:c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</x:row>
    <x:row r="10">
      <x:c r="A10" s="53" t="str">
        <x:v>若实验 SLO 设为 P99 TTFT ≤ 50 ms 且 P99 E2E ≤ 1000 ms，最高通过点为并发 16（输出吞吐 2750.1 tok/s）。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>
      <x:c r="A13" s="18" t="str">
        <x:v>并发</x:v>
      </x:c>
      <x:c r="B13" s="18" t="str">
        <x:v>输出吞吐 (tok/s)</x:v>
      </x:c>
      <x:c r="C13" s="48"/>
      <x:c r="D13" s="18" t="str">
        <x:v>并发</x:v>
      </x:c>
      <x:c r="E13" s="18" t="str">
        <x:v>P99 E2E (ms)</x:v>
      </x:c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>
      <x:c r="A14" s="54" t="n">
        <x:v>1</x:v>
      </x:c>
      <x:c r="B14" s="55" t="n">
        <x:v>287.5399554454151</x:v>
      </x:c>
      <x:c r="C14" s="48"/>
      <x:c r="D14" s="54" t="n">
        <x:v>1</x:v>
      </x:c>
      <x:c r="E14" s="55" t="n">
        <x:v>455.2613412400005</x:v>
      </x:c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>
      <x:c r="A15" s="54" t="n">
        <x:v>4</x:v>
      </x:c>
      <x:c r="B15" s="55" t="n">
        <x:v>957.2425308577019</x:v>
      </x:c>
      <x:c r="C15" s="48"/>
      <x:c r="D15" s="54" t="n">
        <x:v>4</x:v>
      </x:c>
      <x:c r="E15" s="55" t="n">
        <x:v>555.1933721799982</x:v>
      </x:c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>
      <x:c r="A16" s="54" t="n">
        <x:v>16</x:v>
      </x:c>
      <x:c r="B16" s="55" t="n">
        <x:v>2750.124526474466</x:v>
      </x:c>
      <x:c r="C16" s="48"/>
      <x:c r="D16" s="54" t="n">
        <x:v>16</x:v>
      </x:c>
      <x:c r="E16" s="55" t="n">
        <x:v>755.3486716200005</x:v>
      </x:c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>
      <x:c r="A17" s="54" t="n">
        <x:v>64</x:v>
      </x:c>
      <x:c r="B17" s="55" t="n">
        <x:v>6139.156796181637</x:v>
      </x:c>
      <x:c r="C17" s="48"/>
      <x:c r="D17" s="54" t="n">
        <x:v>64</x:v>
      </x:c>
      <x:c r="E17" s="55" t="n">
        <x:v>1329.2107331700054</x:v>
      </x:c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</x:row>
    <x:row r="37">
      <x:c r="A37" s="25" t="str">
        <x:v>并发</x:v>
      </x:c>
      <x:c r="B37" s="26" t="str">
        <x:v>请求吞吐 (req/s)</x:v>
      </x:c>
      <x:c r="C37" s="26" t="str">
        <x:v>输出吞吐 (tok/s)</x:v>
      </x:c>
      <x:c r="D37" s="26" t="str">
        <x:v>相对并发1</x:v>
      </x:c>
      <x:c r="E37" s="26" t="str">
        <x:v>平均 TTFT (ms)</x:v>
      </x:c>
      <x:c r="F37" s="26" t="str">
        <x:v>P99 TTFT (ms)</x:v>
      </x:c>
      <x:c r="G37" s="26" t="str">
        <x:v>平均 TPOT (ms)</x:v>
      </x:c>
      <x:c r="H37" s="26" t="str">
        <x:v>P99 TPOT (ms)</x:v>
      </x:c>
      <x:c r="I37" s="26" t="str">
        <x:v>平均 E2E (ms)</x:v>
      </x:c>
      <x:c r="J37" s="26" t="str">
        <x:v>P99 E2E (ms)</x:v>
      </x:c>
      <x:c r="K37" s="26" t="str">
        <x:v>失败</x:v>
      </x:c>
      <x:c r="L37" s="27" t="str">
        <x:v>实验 SLO</x:v>
      </x:c>
      <x:c r="M37" s="48"/>
      <x:c r="N37" s="48"/>
      <x:c r="O37" s="48"/>
      <x:c r="P37" s="48"/>
    </x:row>
    <x:row r="38">
      <x:c r="A38" s="56" t="n">
        <x:f>'Raw data'!A2</x:f>
        <x:v>1</x:v>
      </x:c>
      <x:c r="B38" s="55" t="n">
        <x:f>'Raw data'!E2</x:f>
        <x:v>2.2464059019173055</x:v>
      </x:c>
      <x:c r="C38" s="55" t="n">
        <x:f>'Raw data'!F2</x:f>
        <x:v>287.5399554454151</x:v>
      </x:c>
      <x:c r="D38" s="57" t="n">
        <x:f>C38/$C$38</x:f>
        <x:v>1</x:v>
      </x:c>
      <x:c r="E38" s="55" t="n">
        <x:f>'Raw data'!I2</x:f>
        <x:v>13.592943859374707</x:v>
      </x:c>
      <x:c r="F38" s="55" t="n">
        <x:f>'Raw data'!L2</x:f>
        <x:v>14.830269759998345</x:v>
      </x:c>
      <x:c r="G38" s="55" t="n">
        <x:f>'Raw data'!M2</x:f>
        <x:v>3.3976716140501937</x:v>
      </x:c>
      <x:c r="H38" s="55" t="n">
        <x:f>'Raw data'!P2</x:f>
        <x:v>3.46989090771657</x:v>
      </x:c>
      <x:c r="I38" s="55" t="n">
        <x:f>'Raw data'!U2</x:f>
        <x:v>445.0972388437493</x:v>
      </x:c>
      <x:c r="J38" s="55" t="n">
        <x:f>'Raw data'!X2</x:f>
        <x:v>455.2613412400005</x:v>
      </x:c>
      <x:c r="K38" s="54" t="n">
        <x:f>'Raw data'!C2</x:f>
        <x:v>0</x:v>
      </x:c>
      <x:c r="L38" s="58" t="str">
        <x:f>IF(AND(F38&lt;=50,J38&lt;=1000),"Pass","Fail")</x:f>
        <x:v>Pass</x:v>
      </x:c>
      <x:c r="M38" s="48"/>
      <x:c r="N38" s="48"/>
      <x:c r="O38" s="48"/>
      <x:c r="P38" s="48"/>
    </x:row>
    <x:row r="39">
      <x:c r="A39" s="56" t="n">
        <x:f>'Raw data'!A3</x:f>
        <x:v>4</x:v>
      </x:c>
      <x:c r="B39" s="55" t="n">
        <x:f>'Raw data'!E3</x:f>
        <x:v>7.478457272325796</x:v>
      </x:c>
      <x:c r="C39" s="55" t="n">
        <x:f>'Raw data'!F3</x:f>
        <x:v>957.2425308577019</x:v>
      </x:c>
      <x:c r="D39" s="57" t="n">
        <x:f>C39/$C$38</x:f>
        <x:v>3.3290765778094418</x:v>
      </x:c>
      <x:c r="E39" s="55" t="n">
        <x:f>'Raw data'!I3</x:f>
        <x:v>17.075959687500752</x:v>
      </x:c>
      <x:c r="F39" s="55" t="n">
        <x:f>'Raw data'!L3</x:f>
        <x:v>23.175546679996444</x:v>
      </x:c>
      <x:c r="G39" s="55" t="n">
        <x:f>'Raw data'!M3</x:f>
        <x:v>4.072451978961608</x:v>
      </x:c>
      <x:c r="H39" s="55" t="n">
        <x:f>'Raw data'!P3</x:f>
        <x:v>4.199521139763767</x:v>
      </x:c>
      <x:c r="I39" s="55" t="n">
        <x:f>'Raw data'!U3</x:f>
        <x:v>534.2773610156248</x:v>
      </x:c>
      <x:c r="J39" s="55" t="n">
        <x:f>'Raw data'!X3</x:f>
        <x:v>555.1933721799982</x:v>
      </x:c>
      <x:c r="K39" s="54" t="n">
        <x:f>'Raw data'!C3</x:f>
        <x:v>0</x:v>
      </x:c>
      <x:c r="L39" s="58" t="str">
        <x:f>IF(AND(F39&lt;=50,J39&lt;=1000),"Pass","Fail")</x:f>
        <x:v>Pass</x:v>
      </x:c>
      <x:c r="M39" s="48"/>
      <x:c r="N39" s="48"/>
      <x:c r="O39" s="48"/>
      <x:c r="P39" s="48"/>
    </x:row>
    <x:row r="40">
      <x:c r="A40" s="56" t="n">
        <x:f>'Raw data'!A4</x:f>
        <x:v>16</x:v>
      </x:c>
      <x:c r="B40" s="55" t="n">
        <x:f>'Raw data'!E4</x:f>
        <x:v>21.485347863081767</x:v>
      </x:c>
      <x:c r="C40" s="55" t="n">
        <x:f>'Raw data'!F4</x:f>
        <x:v>2750.124526474466</x:v>
      </x:c>
      <x:c r="D40" s="57" t="n">
        <x:f>C40/$C$38</x:f>
        <x:v>9.564321320890423</x:v>
      </x:c>
      <x:c r="E40" s="55" t="n">
        <x:f>'Raw data'!I4</x:f>
        <x:v>34.317475687499766</x:v>
      </x:c>
      <x:c r="F40" s="55" t="n">
        <x:f>'Raw data'!L4</x:f>
        <x:v>43.47848412000147</x:v>
      </x:c>
      <x:c r="G40" s="55" t="n">
        <x:f>'Raw data'!M4</x:f>
        <x:v>5.576844475762793</x:v>
      </x:c>
      <x:c r="H40" s="55" t="n">
        <x:f>'Raw data'!P4</x:f>
        <x:v>5.619726223385831</x:v>
      </x:c>
      <x:c r="I40" s="55" t="n">
        <x:f>'Raw data'!U4</x:f>
        <x:v>742.5767241093744</x:v>
      </x:c>
      <x:c r="J40" s="55" t="n">
        <x:f>'Raw data'!X4</x:f>
        <x:v>755.3486716200005</x:v>
      </x:c>
      <x:c r="K40" s="54" t="n">
        <x:f>'Raw data'!C4</x:f>
        <x:v>0</x:v>
      </x:c>
      <x:c r="L40" s="58" t="str">
        <x:f>IF(AND(F40&lt;=50,J40&lt;=1000),"Pass","Fail")</x:f>
        <x:v>Pass</x:v>
      </x:c>
      <x:c r="M40" s="48"/>
      <x:c r="N40" s="48"/>
      <x:c r="O40" s="48"/>
      <x:c r="P40" s="48"/>
    </x:row>
    <x:row r="41">
      <x:c r="A41" s="59" t="n">
        <x:f>'Raw data'!A5</x:f>
        <x:v>64</x:v>
      </x:c>
      <x:c r="B41" s="60" t="n">
        <x:f>'Raw data'!E5</x:f>
        <x:v>47.96216247016904</x:v>
      </x:c>
      <x:c r="C41" s="60" t="n">
        <x:f>'Raw data'!F5</x:f>
        <x:v>6139.156796181637</x:v>
      </x:c>
      <x:c r="D41" s="61" t="n">
        <x:f>C41/$C$38</x:f>
        <x:v>21.350621643770335</x:v>
      </x:c>
      <x:c r="E41" s="60" t="n">
        <x:f>'Raw data'!I5</x:f>
        <x:v>89.91811490625156</x:v>
      </x:c>
      <x:c r="F41" s="60" t="n">
        <x:f>'Raw data'!L5</x:f>
        <x:v>124.21771049000809</x:v>
      </x:c>
      <x:c r="G41" s="60" t="n">
        <x:f>'Raw data'!M5</x:f>
        <x:v>9.671546649606292</x:v>
      </x:c>
      <x:c r="H41" s="60" t="n">
        <x:f>'Raw data'!P5</x:f>
        <x:v>9.772458991023607</x:v>
      </x:c>
      <x:c r="I41" s="60" t="n">
        <x:f>'Raw data'!U5</x:f>
        <x:v>1318.2045394062507</x:v>
      </x:c>
      <x:c r="J41" s="60" t="n">
        <x:f>'Raw data'!X5</x:f>
        <x:v>1329.2107331700054</x:v>
      </x:c>
      <x:c r="K41" s="62" t="n">
        <x:f>'Raw data'!C5</x:f>
        <x:v>0</x:v>
      </x:c>
      <x:c r="L41" s="63" t="str">
        <x:f>IF(AND(F41&lt;=50,J41&lt;=1000),"Pass","Fail")</x:f>
        <x:v>Fail</x:v>
      </x:c>
      <x:c r="M41" s="48"/>
      <x:c r="N41" s="48"/>
      <x:c r="O41" s="48"/>
      <x:c r="P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</x:row>
    <x:row r="43">
      <x:c r="A43" s="64" t="str">
        <x:v>实验 SLO 仅用于本次学习：P99 TTFT ≤ 50 ms，P99 E2E ≤ 1000 ms；真实项目应由产品体验与容量目标定义。</x:v>
      </x:c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</x:row>
  </x:sheetData>
  <x:pageMargins left="0.7" right="0.7" top="0.75" bottom="0.75" header="0.3" footer="0.3"/>
  <x:drawing xmlns:r="http://schemas.openxmlformats.org/officeDocument/2006/relationships" r:id="Rfb07f56ff3034295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17" hidden="0" customWidth="1"/>
    <x:col min="3" max="3" width="12.75" hidden="0" customWidth="1"/>
    <x:col min="4" max="4" width="9.130000114440918" hidden="0" customWidth="1"/>
    <x:col min="5" max="5" width="21.75" hidden="0" customWidth="1"/>
    <x:col min="6" max="6" width="20.8799991607666" hidden="0" customWidth="1"/>
    <x:col min="7" max="7" width="25.6299991607666" hidden="0" customWidth="1"/>
    <x:col min="8" max="8" width="24.5" hidden="0" customWidth="1"/>
    <x:col min="9" max="9" width="11.3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12.380000114440918" hidden="0" customWidth="1"/>
    <x:col min="14" max="14" width="10.880000114440918" hidden="0" customWidth="1"/>
    <x:col min="15" max="15" width="10.880000114440918" hidden="0" customWidth="1"/>
    <x:col min="16" max="16" width="10.880000114440918" hidden="0" customWidth="1"/>
    <x:col min="17" max="17" width="10.630000114440918" hidden="0" customWidth="1"/>
    <x:col min="18" max="18" width="9.130000114440918" hidden="0" customWidth="1"/>
    <x:col min="19" max="19" width="9.130000114440918" hidden="0" customWidth="1"/>
    <x:col min="20" max="20" width="9.130000114440918" hidden="0" customWidth="1"/>
    <x:col min="21" max="21" width="12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1.130000114440918" hidden="0" customWidth="1"/>
    <x:col min="26" max="26" width="13.5" hidden="0" customWidth="1"/>
  </x:cols>
  <x:sheetData>
    <x:row r="1" ht="15" hidden="0" customHeight="1">
      <x:c r="A1" s="25" t="str">
        <x:v>concurrency</x:v>
      </x:c>
      <x:c r="B1" s="26" t="str">
        <x:v>successful_requests</x:v>
      </x:c>
      <x:c r="C1" s="26" t="str">
        <x:v>failed_requests</x:v>
      </x:c>
      <x:c r="D1" s="26" t="str">
        <x:v>duration_s</x:v>
      </x:c>
      <x:c r="E1" s="26" t="str">
        <x:v>request_throughput_req_s</x:v>
      </x:c>
      <x:c r="F1" s="26" t="str">
        <x:v>output_throughput_tok_s</x:v>
      </x:c>
      <x:c r="G1" s="26" t="str">
        <x:v>peak_output_throughput_tok_s</x:v>
      </x:c>
      <x:c r="H1" s="26" t="str">
        <x:v>total_token_throughput_tok_s</x:v>
      </x:c>
      <x:c r="I1" s="26" t="str">
        <x:v>mean_ttft_ms</x:v>
      </x:c>
      <x:c r="J1" s="26" t="str">
        <x:v>p50_ttft_ms</x:v>
      </x:c>
      <x:c r="K1" s="26" t="str">
        <x:v>p95_ttft_ms</x:v>
      </x:c>
      <x:c r="L1" s="26" t="str">
        <x:v>p99_ttft_ms</x:v>
      </x:c>
      <x:c r="M1" s="26" t="str">
        <x:v>mean_tpot_ms</x:v>
      </x:c>
      <x:c r="N1" s="26" t="str">
        <x:v>p50_tpot_ms</x:v>
      </x:c>
      <x:c r="O1" s="26" t="str">
        <x:v>p95_tpot_ms</x:v>
      </x:c>
      <x:c r="P1" s="26" t="str">
        <x:v>p99_tpot_ms</x:v>
      </x:c>
      <x:c r="Q1" s="26" t="str">
        <x:v>mean_itl_ms</x:v>
      </x:c>
      <x:c r="R1" s="26" t="str">
        <x:v>p50_itl_ms</x:v>
      </x:c>
      <x:c r="S1" s="26" t="str">
        <x:v>p95_itl_ms</x:v>
      </x:c>
      <x:c r="T1" s="26" t="str">
        <x:v>p99_itl_ms</x:v>
      </x:c>
      <x:c r="U1" s="26" t="str">
        <x:v>mean_e2e_ms</x:v>
      </x:c>
      <x:c r="V1" s="26" t="str">
        <x:v>p50_e2e_ms</x:v>
      </x:c>
      <x:c r="W1" s="26" t="str">
        <x:v>p95_e2e_ms</x:v>
      </x:c>
      <x:c r="X1" s="26" t="str">
        <x:v>p99_e2e_ms</x:v>
      </x:c>
      <x:c r="Y1" s="26" t="str">
        <x:v>success_rate</x:v>
      </x:c>
      <x:c r="Z1" s="27" t="str">
        <x:v>source_file</x:v>
      </x:c>
    </x:row>
    <x:row r="2" ht="15" hidden="0" customHeight="1">
      <x:c r="A2" s="68" t="n">
        <x:v>1</x:v>
      </x:c>
      <x:c r="B2" s="65" t="n">
        <x:v>64</x:v>
      </x:c>
      <x:c r="C2" s="65" t="n">
        <x:v>0</x:v>
      </x:c>
      <x:c r="D2" s="66" t="n">
        <x:v>28.489953638999992</x:v>
      </x:c>
      <x:c r="E2" s="66" t="n">
        <x:v>2.2464059019173055</x:v>
      </x:c>
      <x:c r="F2" s="66" t="n">
        <x:v>287.5399554454151</x:v>
      </x:c>
      <x:c r="G2" s="66" t="n">
        <x:v>291</x:v>
      </x:c>
      <x:c r="H2" s="66" t="n">
        <x:v>862.6198663362453</x:v>
      </x:c>
      <x:c r="I2" s="66" t="n">
        <x:v>13.592943859374707</x:v>
      </x:c>
      <x:c r="J2" s="66" t="n">
        <x:v>13.652047999997308</x:v>
      </x:c>
      <x:c r="K2" s="66" t="n">
        <x:v>14.542230949995627</x:v>
      </x:c>
      <x:c r="L2" s="66" t="n">
        <x:v>14.830269759998345</x:v>
      </x:c>
      <x:c r="M2" s="66" t="n">
        <x:v>3.3976716140501937</x:v>
      </x:c>
      <x:c r="N2" s="66" t="n">
        <x:v>3.3887980157480344</x:v>
      </x:c>
      <x:c r="O2" s="66" t="n">
        <x:v>3.451289879527523</x:v>
      </x:c>
      <x:c r="P2" s="66" t="n">
        <x:v>3.46989090771657</x:v>
      </x:c>
      <x:c r="Q2" s="66" t="n">
        <x:v>3.3976753540846523</x:v>
      </x:c>
      <x:c r="R2" s="66" t="n">
        <x:v>3.3722505000071124</x:v>
      </x:c>
      <x:c r="S2" s="66" t="n">
        <x:v>3.7295333000066933</x:v>
      </x:c>
      <x:c r="T2" s="66" t="n">
        <x:v>3.9875028200033564</x:v>
      </x:c>
      <x:c r="U2" s="66" t="n">
        <x:v>445.0972388437493</x:v>
      </x:c>
      <x:c r="V2" s="66" t="n">
        <x:v>443.8654464999914</x:v>
      </x:c>
      <x:c r="W2" s="66" t="n">
        <x:v>452.77376104999547</x:v>
      </x:c>
      <x:c r="X2" s="66" t="n">
        <x:v>455.2613412400005</x:v>
      </x:c>
      <x:c r="Y2" s="67" t="n">
        <x:v>1</x:v>
      </x:c>
      <x:c r="Z2" s="69" t="str">
        <x:v>baseline-c1.json</x:v>
      </x:c>
    </x:row>
    <x:row r="3" ht="15" hidden="0" customHeight="1">
      <x:c r="A3" s="68" t="n">
        <x:v>4</x:v>
      </x:c>
      <x:c r="B3" s="65" t="n">
        <x:v>64</x:v>
      </x:c>
      <x:c r="C3" s="65" t="n">
        <x:v>0</x:v>
      </x:c>
      <x:c r="D3" s="66" t="n">
        <x:v>8.557914776999993</x:v>
      </x:c>
      <x:c r="E3" s="66" t="n">
        <x:v>7.478457272325796</x:v>
      </x:c>
      <x:c r="F3" s="66" t="n">
        <x:v>957.2425308577019</x:v>
      </x:c>
      <x:c r="G3" s="66" t="n">
        <x:v>974</x:v>
      </x:c>
      <x:c r="H3" s="66" t="n">
        <x:v>2871.727592573106</x:v>
      </x:c>
      <x:c r="I3" s="66" t="n">
        <x:v>17.075959687500752</x:v>
      </x:c>
      <x:c r="J3" s="66" t="n">
        <x:v>16.767078500009802</x:v>
      </x:c>
      <x:c r="K3" s="66" t="n">
        <x:v>22.814152950004285</x:v>
      </x:c>
      <x:c r="L3" s="66" t="n">
        <x:v>23.175546679996444</x:v>
      </x:c>
      <x:c r="M3" s="66" t="n">
        <x:v>4.072451978961608</x:v>
      </x:c>
      <x:c r="N3" s="66" t="n">
        <x:v>4.070670645669308</x:v>
      </x:c>
      <x:c r="O3" s="66" t="n">
        <x:v>4.179631395669252</x:v>
      </x:c>
      <x:c r="P3" s="66" t="n">
        <x:v>4.199521139763767</x:v>
      </x:c>
      <x:c r="Q3" s="66" t="n">
        <x:v>4.0724530066437</x:v>
      </x:c>
      <x:c r="R3" s="66" t="n">
        <x:v>4.025692000006131</x:v>
      </x:c>
      <x:c r="S3" s="66" t="n">
        <x:v>4.724454999995231</x:v>
      </x:c>
      <x:c r="T3" s="66" t="n">
        <x:v>5.195753299999096</x:v>
      </x:c>
      <x:c r="U3" s="66" t="n">
        <x:v>534.2773610156248</x:v>
      </x:c>
      <x:c r="V3" s="66" t="n">
        <x:v>532.6088549999995</x:v>
      </x:c>
      <x:c r="W3" s="66" t="n">
        <x:v>550.9582218500008</x:v>
      </x:c>
      <x:c r="X3" s="66" t="n">
        <x:v>555.1933721799982</x:v>
      </x:c>
      <x:c r="Y3" s="67" t="n">
        <x:v>1</x:v>
      </x:c>
      <x:c r="Z3" s="69" t="str">
        <x:v>baseline-c4.json</x:v>
      </x:c>
    </x:row>
    <x:row r="4" ht="15" hidden="0" customHeight="1">
      <x:c r="A4" s="68" t="n">
        <x:v>16</x:v>
      </x:c>
      <x:c r="B4" s="65" t="n">
        <x:v>64</x:v>
      </x:c>
      <x:c r="C4" s="65" t="n">
        <x:v>0</x:v>
      </x:c>
      <x:c r="D4" s="66" t="n">
        <x:v>2.9787742050000077</x:v>
      </x:c>
      <x:c r="E4" s="66" t="n">
        <x:v>21.485347863081767</x:v>
      </x:c>
      <x:c r="F4" s="66" t="n">
        <x:v>2750.124526474466</x:v>
      </x:c>
      <x:c r="G4" s="66" t="n">
        <x:v>2794</x:v>
      </x:c>
      <x:c r="H4" s="66" t="n">
        <x:v>8250.373579423398</x:v>
      </x:c>
      <x:c r="I4" s="66" t="n">
        <x:v>34.317475687499766</x:v>
      </x:c>
      <x:c r="J4" s="66" t="n">
        <x:v>34.02780800000471</x:v>
      </x:c>
      <x:c r="K4" s="66" t="n">
        <x:v>42.97570325000848</x:v>
      </x:c>
      <x:c r="L4" s="66" t="n">
        <x:v>43.47848412000147</x:v>
      </x:c>
      <x:c r="M4" s="66" t="n">
        <x:v>5.576844475762793</x:v>
      </x:c>
      <x:c r="N4" s="66" t="n">
        <x:v>5.571480704724412</x:v>
      </x:c>
      <x:c r="O4" s="66" t="n">
        <x:v>5.6063597472440465</x:v>
      </x:c>
      <x:c r="P4" s="66" t="n">
        <x:v>5.619726223385831</x:v>
      </x:c>
      <x:c r="Q4" s="66" t="n">
        <x:v>5.5768450949803166</x:v>
      </x:c>
      <x:c r="R4" s="66" t="n">
        <x:v>5.512137000003747</x:v>
      </x:c>
      <x:c r="S4" s="66" t="n">
        <x:v>6.644316499993863</x:v>
      </x:c>
      <x:c r="T4" s="66" t="n">
        <x:v>7.407814640012014</x:v>
      </x:c>
      <x:c r="U4" s="66" t="n">
        <x:v>742.5767241093744</x:v>
      </x:c>
      <x:c r="V4" s="66" t="n">
        <x:v>741.0286865000018</x:v>
      </x:c>
      <x:c r="W4" s="66" t="n">
        <x:v>754.6399609499964</x:v>
      </x:c>
      <x:c r="X4" s="66" t="n">
        <x:v>755.3486716200005</x:v>
      </x:c>
      <x:c r="Y4" s="67" t="n">
        <x:v>1</x:v>
      </x:c>
      <x:c r="Z4" s="69" t="str">
        <x:v>baseline-c16.json</x:v>
      </x:c>
    </x:row>
    <x:row r="5" ht="15" hidden="0" customHeight="1">
      <x:c r="A5" s="70" t="n">
        <x:v>64</x:v>
      </x:c>
      <x:c r="B5" s="71" t="n">
        <x:v>64</x:v>
      </x:c>
      <x:c r="C5" s="71" t="n">
        <x:v>0</x:v>
      </x:c>
      <x:c r="D5" s="72" t="n">
        <x:v>1.3343852050000038</x:v>
      </x:c>
      <x:c r="E5" s="72" t="n">
        <x:v>47.96216247016904</x:v>
      </x:c>
      <x:c r="F5" s="72" t="n">
        <x:v>6139.156796181637</x:v>
      </x:c>
      <x:c r="G5" s="72" t="n">
        <x:v>6126</x:v>
      </x:c>
      <x:c r="H5" s="72" t="n">
        <x:v>18417.47038854491</x:v>
      </x:c>
      <x:c r="I5" s="72" t="n">
        <x:v>89.91811490625156</x:v>
      </x:c>
      <x:c r="J5" s="72" t="n">
        <x:v>83.32645499999813</x:v>
      </x:c>
      <x:c r="K5" s="72" t="n">
        <x:v>117.42859725000159</x:v>
      </x:c>
      <x:c r="L5" s="72" t="n">
        <x:v>124.21771049000809</x:v>
      </x:c>
      <x:c r="M5" s="72" t="n">
        <x:v>9.671546649606292</x:v>
      </x:c>
      <x:c r="N5" s="72" t="n">
        <x:v>9.73724294094487</x:v>
      </x:c>
      <x:c r="O5" s="72" t="n">
        <x:v>9.766063135039353</x:v>
      </x:c>
      <x:c r="P5" s="72" t="n">
        <x:v>9.772458991023607</x:v>
      </x:c>
      <x:c r="Q5" s="72" t="n">
        <x:v>9.673927599187799</x:v>
      </x:c>
      <x:c r="R5" s="72" t="n">
        <x:v>9.609978499995009</x:v>
      </x:c>
      <x:c r="S5" s="72" t="n">
        <x:v>11.096015750002408</x:v>
      </x:c>
      <x:c r="T5" s="72" t="n">
        <x:v>16.646950000001937</x:v>
      </x:c>
      <x:c r="U5" s="72" t="n">
        <x:v>1318.2045394062507</x:v>
      </x:c>
      <x:c r="V5" s="72" t="n">
        <x:v>1320.4804774999984</x:v>
      </x:c>
      <x:c r="W5" s="72" t="n">
        <x:v>1327.1963842499956</x:v>
      </x:c>
      <x:c r="X5" s="72" t="n">
        <x:v>1329.2107331700054</x:v>
      </x:c>
      <x:c r="Y5" s="73" t="n">
        <x:v>1</x:v>
      </x:c>
      <x:c r="Z5" s="74" t="str">
        <x:v>baseline-c64.json</x:v>
      </x:c>
    </x:row>
  </x:sheetData>
  <x:pageMargins left="0.7" right="0.7" top="0.75" bottom="0.75" header="0.3" footer="0.3"/>
</x:worksheet>
</file>